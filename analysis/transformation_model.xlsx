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ownloads\"/>
    </mc:Choice>
  </mc:AlternateContent>
  <xr:revisionPtr revIDLastSave="0" documentId="13_ncr:1_{10429962-1C41-461F-A3A0-CE655A5E62FE}" xr6:coauthVersionLast="47" xr6:coauthVersionMax="47" xr10:uidLastSave="{00000000-0000-0000-0000-000000000000}"/>
  <bookViews>
    <workbookView xWindow="105" yWindow="3585" windowWidth="26610" windowHeight="15345" activeTab="6" xr2:uid="{C1C2BF17-C2DD-4344-97C6-26F41EE32113}"/>
  </bookViews>
  <sheets>
    <sheet name="README" sheetId="1" r:id="rId1"/>
    <sheet name="Assumptions" sheetId="2" r:id="rId2"/>
    <sheet name="Customer_Economics" sheetId="3" r:id="rId3"/>
    <sheet name="Cost_Structure" sheetId="4" r:id="rId4"/>
    <sheet name="Segment_Margins" sheetId="5" r:id="rId5"/>
    <sheet name="Scenarios" sheetId="6" r:id="rId6"/>
    <sheet name="Executive_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2" i="3"/>
  <c r="D4" i="4"/>
  <c r="D5" i="4"/>
  <c r="D6" i="4"/>
  <c r="D3" i="4"/>
  <c r="D2" i="4"/>
  <c r="C3" i="6"/>
  <c r="C15" i="7"/>
  <c r="C14" i="7"/>
  <c r="D10" i="7"/>
  <c r="D9" i="7"/>
  <c r="D8" i="7"/>
  <c r="D7" i="7"/>
  <c r="C8" i="7"/>
  <c r="C7" i="7"/>
  <c r="B10" i="7"/>
  <c r="B9" i="7"/>
  <c r="B8" i="7"/>
  <c r="B7" i="7"/>
  <c r="E4" i="6"/>
  <c r="D4" i="6"/>
  <c r="C4" i="6"/>
  <c r="B4" i="6"/>
  <c r="D3" i="6"/>
  <c r="E3" i="6" s="1"/>
  <c r="B3" i="6"/>
  <c r="E2" i="6"/>
  <c r="D2" i="6"/>
  <c r="C2" i="6"/>
  <c r="B2" i="6"/>
  <c r="F3" i="5"/>
  <c r="F4" i="5"/>
  <c r="F5" i="5"/>
  <c r="F2" i="5"/>
  <c r="E3" i="5"/>
  <c r="E4" i="5"/>
  <c r="E5" i="5"/>
  <c r="E2" i="5"/>
  <c r="D3" i="5"/>
  <c r="D4" i="5"/>
  <c r="D5" i="5"/>
  <c r="D2" i="5"/>
  <c r="B3" i="5"/>
  <c r="B4" i="5"/>
  <c r="B5" i="5"/>
  <c r="B2" i="5"/>
  <c r="A3" i="5"/>
  <c r="A4" i="5"/>
  <c r="A5" i="5"/>
  <c r="A2" i="5"/>
  <c r="C3" i="5"/>
  <c r="C4" i="5"/>
  <c r="C5" i="5"/>
  <c r="C2" i="5"/>
  <c r="F3" i="3"/>
  <c r="F4" i="3"/>
  <c r="F5" i="3"/>
  <c r="D3" i="3"/>
  <c r="D4" i="3"/>
  <c r="D5" i="3"/>
  <c r="F2" i="3"/>
  <c r="D2" i="3"/>
  <c r="D7" i="4" l="1"/>
  <c r="E2" i="4"/>
  <c r="C10" i="7"/>
  <c r="B15" i="7"/>
  <c r="B14" i="7"/>
  <c r="C9" i="7"/>
  <c r="E6" i="4" l="1"/>
  <c r="E4" i="4"/>
  <c r="E5" i="4"/>
  <c r="E3" i="4"/>
  <c r="E7" i="4" s="1"/>
</calcChain>
</file>

<file path=xl/sharedStrings.xml><?xml version="1.0" encoding="utf-8"?>
<sst xmlns="http://schemas.openxmlformats.org/spreadsheetml/2006/main" count="78" uniqueCount="68">
  <si>
    <t>Purpose</t>
  </si>
  <si>
    <t>Key Questions</t>
  </si>
  <si>
    <t>How to Use</t>
  </si>
  <si>
    <t>Important Notes</t>
  </si>
  <si>
    <t>This model evaluates customer segment profitability, cost-to-serve, and operating model tradeoffs to inform a 12–24 month business transformation strategy.</t>
  </si>
  <si>
    <t>• Which customer segments drive profit vs. cost?</t>
  </si>
  <si>
    <t>• Where is cost-to-serve misaligned with value?</t>
  </si>
  <si>
    <t>• What transformation levers have the highest impact?</t>
  </si>
  <si>
    <t>• Adjust assumptions in the Assumptions tab</t>
  </si>
  <si>
    <t>• Review segment economics and margins</t>
  </si>
  <si>
    <t>• Compare scenarios to evaluate tradeoffs</t>
  </si>
  <si>
    <t>• Data is representative and directional</t>
  </si>
  <si>
    <t>• Model designed for decision support, not accounting precision</t>
  </si>
  <si>
    <t>assumption</t>
  </si>
  <si>
    <t>value</t>
  </si>
  <si>
    <t>Support Automation Rate</t>
  </si>
  <si>
    <t>Support Cost Reduction</t>
  </si>
  <si>
    <t>Pro Segment Price Increase</t>
  </si>
  <si>
    <t>SMB Growth Increase</t>
  </si>
  <si>
    <t>Enterprise Churn Reduction</t>
  </si>
  <si>
    <t>Segment</t>
  </si>
  <si>
    <t>Users</t>
  </si>
  <si>
    <t>ARPU (annual)</t>
  </si>
  <si>
    <t>Revenue</t>
  </si>
  <si>
    <t>Support Cost per User</t>
  </si>
  <si>
    <t>Total Support Cost</t>
  </si>
  <si>
    <t>Gross Contribution</t>
  </si>
  <si>
    <t>Function</t>
  </si>
  <si>
    <t>Headcount</t>
  </si>
  <si>
    <t>Retail</t>
  </si>
  <si>
    <t>Pro</t>
  </si>
  <si>
    <t>SMB</t>
  </si>
  <si>
    <t>Enterprise</t>
  </si>
  <si>
    <t>Percent_of_Total</t>
  </si>
  <si>
    <t>Total_Cost</t>
  </si>
  <si>
    <t>Avg_Cost_Per_Employee</t>
  </si>
  <si>
    <t>Customer Support</t>
  </si>
  <si>
    <t>Operations</t>
  </si>
  <si>
    <t>Engineering</t>
  </si>
  <si>
    <t>Compliance &amp; Risk</t>
  </si>
  <si>
    <t>Sales &amp; Marketing</t>
  </si>
  <si>
    <t>Support_Cost</t>
  </si>
  <si>
    <t>Allocated_Support_Cost</t>
  </si>
  <si>
    <t>Contribution_After_Support</t>
  </si>
  <si>
    <t>Contribution_Margin</t>
  </si>
  <si>
    <t>Scenario</t>
  </si>
  <si>
    <t>Total_Revenue</t>
  </si>
  <si>
    <t>Total_Support_Cost</t>
  </si>
  <si>
    <t>Key_Assumption</t>
  </si>
  <si>
    <t>Base Case</t>
  </si>
  <si>
    <t>Targeted Automation</t>
  </si>
  <si>
    <t>Segment-Focused Operating Model</t>
  </si>
  <si>
    <t>No operational changes</t>
  </si>
  <si>
    <t>20% reduction in support cost via automation</t>
  </si>
  <si>
    <t>Support effort reallocated toward high-value segments</t>
  </si>
  <si>
    <t>Executive Summary — Business Transformation Impact</t>
  </si>
  <si>
    <t>This summary compares baseline performance against two transformation scenarios to assess impact on profitability and operating efficiency.</t>
  </si>
  <si>
    <t>Metric</t>
  </si>
  <si>
    <t>Segment-Focused Model</t>
  </si>
  <si>
    <t>Total Revenue</t>
  </si>
  <si>
    <t>Contribution After Support</t>
  </si>
  <si>
    <t>Contribution Margin</t>
  </si>
  <si>
    <t>Δ Automation vs Base</t>
  </si>
  <si>
    <t>Δ Segment-Focused vs Base</t>
  </si>
  <si>
    <t>• Targeted automation improves margins but does not materially change revenue trajectory</t>
  </si>
  <si>
    <t>• Segment-focused operating model delivers the largest improvement in contribution and margin</t>
  </si>
  <si>
    <t>• Cost-to-serve misalignment is a primary driver of underperformance</t>
  </si>
  <si>
    <t>• Transformation impact is driven by focus, not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</si>
</sst>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D94821"/>
      <color rgb="FF33A60A"/>
      <color rgb="FFD40A0A"/>
      <color rgb="FF9A26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DA36-12A7-46FE-812E-6DBF1F388C85}">
  <dimension ref="A1:A13"/>
  <sheetViews>
    <sheetView workbookViewId="0">
      <selection activeCell="A27" sqref="A27"/>
    </sheetView>
  </sheetViews>
  <sheetFormatPr defaultRowHeight="15" x14ac:dyDescent="0.25"/>
  <cols>
    <col min="1" max="1" width="144.7109375" bestFit="1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2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3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1D05-C41A-4F35-B81F-2E1991F0760D}">
  <dimension ref="A1:B6"/>
  <sheetViews>
    <sheetView workbookViewId="0">
      <selection activeCell="B2" sqref="B2"/>
    </sheetView>
  </sheetViews>
  <sheetFormatPr defaultRowHeight="15" x14ac:dyDescent="0.25"/>
  <cols>
    <col min="1" max="1" width="25.85546875" bestFit="1" customWidth="1"/>
    <col min="2" max="2" width="5.85546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s="1">
        <v>0.2</v>
      </c>
    </row>
    <row r="3" spans="1:2" x14ac:dyDescent="0.25">
      <c r="A3" t="s">
        <v>16</v>
      </c>
      <c r="B3" s="1">
        <v>0.15</v>
      </c>
    </row>
    <row r="4" spans="1:2" x14ac:dyDescent="0.25">
      <c r="A4" t="s">
        <v>17</v>
      </c>
      <c r="B4" s="1">
        <v>0.08</v>
      </c>
    </row>
    <row r="5" spans="1:2" x14ac:dyDescent="0.25">
      <c r="A5" t="s">
        <v>18</v>
      </c>
      <c r="B5" s="1">
        <v>0.05</v>
      </c>
    </row>
    <row r="6" spans="1:2" x14ac:dyDescent="0.25">
      <c r="A6" t="s">
        <v>19</v>
      </c>
      <c r="B6" s="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A486-C83E-43E5-B668-4FB7B873CC00}">
  <dimension ref="A1:G5"/>
  <sheetViews>
    <sheetView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0.140625" bestFit="1" customWidth="1"/>
    <col min="3" max="3" width="13.85546875" bestFit="1" customWidth="1"/>
    <col min="4" max="4" width="14.85546875" bestFit="1" customWidth="1"/>
    <col min="5" max="5" width="20.42578125" bestFit="1" customWidth="1"/>
    <col min="6" max="6" width="17.42578125" bestFit="1" customWidth="1"/>
    <col min="7" max="7" width="17.85546875" bestFit="1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t="s">
        <v>29</v>
      </c>
      <c r="B2" s="2">
        <v>2400000</v>
      </c>
      <c r="C2">
        <v>85</v>
      </c>
      <c r="D2" s="3">
        <f>B2*C2</f>
        <v>204000000</v>
      </c>
      <c r="E2">
        <v>42</v>
      </c>
      <c r="F2" s="3">
        <f>B2*E2</f>
        <v>100800000</v>
      </c>
      <c r="G2" s="4">
        <f>D2-F2</f>
        <v>103200000</v>
      </c>
    </row>
    <row r="3" spans="1:7" x14ac:dyDescent="0.25">
      <c r="A3" t="s">
        <v>30</v>
      </c>
      <c r="B3" s="2">
        <v>520000</v>
      </c>
      <c r="C3">
        <v>310</v>
      </c>
      <c r="D3" s="3">
        <f t="shared" ref="D3:D5" si="0">B3*C3</f>
        <v>161200000</v>
      </c>
      <c r="E3">
        <v>68</v>
      </c>
      <c r="F3" s="3">
        <f t="shared" ref="F3:F5" si="1">B3*E3</f>
        <v>35360000</v>
      </c>
      <c r="G3" s="4">
        <f t="shared" ref="G3:G5" si="2">D3-F3</f>
        <v>125840000</v>
      </c>
    </row>
    <row r="4" spans="1:7" x14ac:dyDescent="0.25">
      <c r="A4" t="s">
        <v>31</v>
      </c>
      <c r="B4" s="2">
        <v>230000</v>
      </c>
      <c r="C4" s="2">
        <v>1250</v>
      </c>
      <c r="D4" s="3">
        <f t="shared" si="0"/>
        <v>287500000</v>
      </c>
      <c r="E4">
        <v>210</v>
      </c>
      <c r="F4" s="3">
        <f t="shared" si="1"/>
        <v>48300000</v>
      </c>
      <c r="G4" s="4">
        <f t="shared" si="2"/>
        <v>239200000</v>
      </c>
    </row>
    <row r="5" spans="1:7" x14ac:dyDescent="0.25">
      <c r="A5" t="s">
        <v>32</v>
      </c>
      <c r="B5" s="2">
        <v>50000</v>
      </c>
      <c r="C5" s="2">
        <v>7800</v>
      </c>
      <c r="D5" s="3">
        <f t="shared" si="0"/>
        <v>390000000</v>
      </c>
      <c r="E5">
        <v>950</v>
      </c>
      <c r="F5" s="3">
        <f t="shared" si="1"/>
        <v>47500000</v>
      </c>
      <c r="G5" s="4">
        <f t="shared" si="2"/>
        <v>342500000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DD71-5345-4E91-AEDB-0574C6CDF664}">
  <dimension ref="A1:E7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7.5703125" bestFit="1" customWidth="1"/>
    <col min="2" max="2" width="10.5703125" bestFit="1" customWidth="1"/>
    <col min="3" max="3" width="23.42578125" bestFit="1" customWidth="1"/>
    <col min="4" max="4" width="11.140625" bestFit="1" customWidth="1"/>
    <col min="5" max="5" width="16.28515625" bestFit="1" customWidth="1"/>
  </cols>
  <sheetData>
    <row r="1" spans="1:5" x14ac:dyDescent="0.25">
      <c r="A1" t="s">
        <v>27</v>
      </c>
      <c r="B1" t="s">
        <v>28</v>
      </c>
      <c r="C1" t="s">
        <v>35</v>
      </c>
      <c r="D1" t="s">
        <v>34</v>
      </c>
      <c r="E1" t="s">
        <v>33</v>
      </c>
    </row>
    <row r="2" spans="1:5" x14ac:dyDescent="0.25">
      <c r="A2" t="s">
        <v>36</v>
      </c>
      <c r="B2">
        <v>620</v>
      </c>
      <c r="C2" s="2">
        <v>72000</v>
      </c>
      <c r="D2" s="2">
        <f>B2*C2</f>
        <v>44640000</v>
      </c>
      <c r="E2" s="5">
        <f>D2/$D$7</f>
        <v>0.2345893110515529</v>
      </c>
    </row>
    <row r="3" spans="1:5" x14ac:dyDescent="0.25">
      <c r="A3" t="s">
        <v>37</v>
      </c>
      <c r="B3">
        <v>310</v>
      </c>
      <c r="C3" s="2">
        <v>95000</v>
      </c>
      <c r="D3" s="2">
        <f>B3*C3</f>
        <v>29450000</v>
      </c>
      <c r="E3" s="5">
        <f t="shared" ref="E3:E6" si="0">D3/$D$7</f>
        <v>0.15476378159651058</v>
      </c>
    </row>
    <row r="4" spans="1:5" x14ac:dyDescent="0.25">
      <c r="A4" t="s">
        <v>38</v>
      </c>
      <c r="B4">
        <v>480</v>
      </c>
      <c r="C4" s="2">
        <v>145000</v>
      </c>
      <c r="D4" s="2">
        <f t="shared" ref="D4:D6" si="1">B4*C4</f>
        <v>69600000</v>
      </c>
      <c r="E4" s="5">
        <f t="shared" si="0"/>
        <v>0.36575752798360395</v>
      </c>
    </row>
    <row r="5" spans="1:5" x14ac:dyDescent="0.25">
      <c r="A5" t="s">
        <v>39</v>
      </c>
      <c r="B5">
        <v>140</v>
      </c>
      <c r="C5" s="2">
        <v>110000</v>
      </c>
      <c r="D5" s="2">
        <f t="shared" si="1"/>
        <v>15400000</v>
      </c>
      <c r="E5" s="5">
        <f t="shared" si="0"/>
        <v>8.0929108203268693E-2</v>
      </c>
    </row>
    <row r="6" spans="1:5" x14ac:dyDescent="0.25">
      <c r="A6" t="s">
        <v>40</v>
      </c>
      <c r="B6">
        <v>260</v>
      </c>
      <c r="C6" s="2">
        <v>120000</v>
      </c>
      <c r="D6" s="2">
        <f t="shared" si="1"/>
        <v>31200000</v>
      </c>
      <c r="E6" s="5">
        <f t="shared" si="0"/>
        <v>0.16396027116506384</v>
      </c>
    </row>
    <row r="7" spans="1:5" x14ac:dyDescent="0.25">
      <c r="D7" s="2">
        <f>SUM(D2:D6)</f>
        <v>190290000</v>
      </c>
      <c r="E7" s="6">
        <f>SUM(E2:E6)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6D08-098F-4F55-B45D-E08C584CE888}">
  <dimension ref="A1:F11"/>
  <sheetViews>
    <sheetView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1" max="1" width="10.140625" bestFit="1" customWidth="1"/>
    <col min="2" max="3" width="14.85546875" bestFit="1" customWidth="1"/>
    <col min="4" max="4" width="22.7109375" bestFit="1" customWidth="1"/>
    <col min="5" max="5" width="26.42578125" bestFit="1" customWidth="1"/>
    <col min="6" max="6" width="19.7109375" bestFit="1" customWidth="1"/>
  </cols>
  <sheetData>
    <row r="1" spans="1:6" x14ac:dyDescent="0.25">
      <c r="A1" t="s">
        <v>20</v>
      </c>
      <c r="B1" t="s">
        <v>23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tr">
        <f>Customer_Economics!A2</f>
        <v>Retail</v>
      </c>
      <c r="B2" s="3">
        <f>Customer_Economics!D2</f>
        <v>204000000</v>
      </c>
      <c r="C2" s="4">
        <f>Customer_Economics!F2</f>
        <v>100800000</v>
      </c>
      <c r="D2" s="4">
        <f>C2</f>
        <v>100800000</v>
      </c>
      <c r="E2" s="4">
        <f>B2-D2</f>
        <v>103200000</v>
      </c>
      <c r="F2" s="6">
        <f>E2/B2</f>
        <v>0.50588235294117645</v>
      </c>
    </row>
    <row r="3" spans="1:6" x14ac:dyDescent="0.25">
      <c r="A3" t="str">
        <f>Customer_Economics!A3</f>
        <v>Pro</v>
      </c>
      <c r="B3" s="3">
        <f>Customer_Economics!D3</f>
        <v>161200000</v>
      </c>
      <c r="C3" s="4">
        <f>Customer_Economics!F3</f>
        <v>35360000</v>
      </c>
      <c r="D3" s="4">
        <f t="shared" ref="D3:D5" si="0">C3</f>
        <v>35360000</v>
      </c>
      <c r="E3" s="4">
        <f t="shared" ref="E3:E5" si="1">B3-D3</f>
        <v>125840000</v>
      </c>
      <c r="F3" s="6">
        <f t="shared" ref="F3:F5" si="2">E3/B3</f>
        <v>0.78064516129032258</v>
      </c>
    </row>
    <row r="4" spans="1:6" x14ac:dyDescent="0.25">
      <c r="A4" t="str">
        <f>Customer_Economics!A4</f>
        <v>SMB</v>
      </c>
      <c r="B4" s="3">
        <f>Customer_Economics!D4</f>
        <v>287500000</v>
      </c>
      <c r="C4" s="4">
        <f>Customer_Economics!F4</f>
        <v>48300000</v>
      </c>
      <c r="D4" s="4">
        <f t="shared" si="0"/>
        <v>48300000</v>
      </c>
      <c r="E4" s="4">
        <f t="shared" si="1"/>
        <v>239200000</v>
      </c>
      <c r="F4" s="6">
        <f t="shared" si="2"/>
        <v>0.83199999999999996</v>
      </c>
    </row>
    <row r="5" spans="1:6" x14ac:dyDescent="0.25">
      <c r="A5" t="str">
        <f>Customer_Economics!A5</f>
        <v>Enterprise</v>
      </c>
      <c r="B5" s="3">
        <f>Customer_Economics!D5</f>
        <v>390000000</v>
      </c>
      <c r="C5" s="4">
        <f>Customer_Economics!F5</f>
        <v>47500000</v>
      </c>
      <c r="D5" s="4">
        <f t="shared" si="0"/>
        <v>47500000</v>
      </c>
      <c r="E5" s="4">
        <f t="shared" si="1"/>
        <v>342500000</v>
      </c>
      <c r="F5" s="6">
        <f t="shared" si="2"/>
        <v>0.87820512820512819</v>
      </c>
    </row>
    <row r="8" spans="1:6" x14ac:dyDescent="0.25">
      <c r="B8" s="3"/>
      <c r="C8" s="4"/>
    </row>
    <row r="9" spans="1:6" x14ac:dyDescent="0.25">
      <c r="B9" s="3"/>
      <c r="C9" s="4"/>
    </row>
    <row r="10" spans="1:6" x14ac:dyDescent="0.25">
      <c r="B10" s="3"/>
      <c r="C10" s="4"/>
    </row>
    <row r="11" spans="1:6" x14ac:dyDescent="0.25">
      <c r="B11" s="3"/>
      <c r="C11" s="4"/>
    </row>
  </sheetData>
  <conditionalFormatting sqref="F2:F5">
    <cfRule type="colorScale" priority="1">
      <colorScale>
        <cfvo type="min"/>
        <cfvo type="max"/>
        <color rgb="FFD94821"/>
        <color theme="9"/>
      </colorScale>
    </cfRule>
    <cfRule type="colorScale" priority="2">
      <colorScale>
        <cfvo type="min"/>
        <cfvo type="max"/>
        <color rgb="FFC00000"/>
        <color theme="9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D40A0A"/>
        <color rgb="FF33A60A"/>
      </colorScale>
    </cfRule>
  </conditionalFormatting>
  <conditionalFormatting sqref="F5">
    <cfRule type="colorScale" priority="3">
      <colorScale>
        <cfvo type="min"/>
        <cfvo type="max"/>
        <color rgb="FFC00000"/>
        <color theme="9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9F72-BAC3-4635-B8AE-95F88008D0F8}">
  <dimension ref="A1:F4"/>
  <sheetViews>
    <sheetView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33" bestFit="1" customWidth="1"/>
    <col min="2" max="2" width="16.42578125" bestFit="1" customWidth="1"/>
    <col min="3" max="3" width="18.5703125" bestFit="1" customWidth="1"/>
    <col min="4" max="4" width="26.42578125" bestFit="1" customWidth="1"/>
    <col min="5" max="5" width="19.7109375" bestFit="1" customWidth="1"/>
    <col min="6" max="6" width="51" bestFit="1" customWidth="1"/>
  </cols>
  <sheetData>
    <row r="1" spans="1:6" x14ac:dyDescent="0.25">
      <c r="A1" t="s">
        <v>45</v>
      </c>
      <c r="B1" t="s">
        <v>46</v>
      </c>
      <c r="C1" t="s">
        <v>47</v>
      </c>
      <c r="D1" t="s">
        <v>43</v>
      </c>
      <c r="E1" t="s">
        <v>44</v>
      </c>
      <c r="F1" t="s">
        <v>48</v>
      </c>
    </row>
    <row r="2" spans="1:6" x14ac:dyDescent="0.25">
      <c r="A2" t="s">
        <v>49</v>
      </c>
      <c r="B2" s="4">
        <f>SUM(Segment_Margins!B2:B5)</f>
        <v>1042700000</v>
      </c>
      <c r="C2" s="4">
        <f>SUM(Segment_Margins!D2:D5)</f>
        <v>231960000</v>
      </c>
      <c r="D2" s="4">
        <f>B2-C2</f>
        <v>810740000</v>
      </c>
      <c r="E2" s="5">
        <f>D2/B2</f>
        <v>0.77753908123141846</v>
      </c>
      <c r="F2" t="s">
        <v>52</v>
      </c>
    </row>
    <row r="3" spans="1:6" x14ac:dyDescent="0.25">
      <c r="A3" t="s">
        <v>50</v>
      </c>
      <c r="B3" s="4">
        <f>B2</f>
        <v>1042700000</v>
      </c>
      <c r="C3" s="4">
        <f>C2*(1-Assumptions!B2)</f>
        <v>185568000</v>
      </c>
      <c r="D3" s="4">
        <f>B3-C3</f>
        <v>857132000</v>
      </c>
      <c r="E3" s="5">
        <f>D3/B3</f>
        <v>0.82203126498513479</v>
      </c>
      <c r="F3" t="s">
        <v>53</v>
      </c>
    </row>
    <row r="4" spans="1:6" x14ac:dyDescent="0.25">
      <c r="A4" t="s">
        <v>51</v>
      </c>
      <c r="B4" s="4">
        <f>B2*(1+0.03)</f>
        <v>1073981000</v>
      </c>
      <c r="C4" s="4">
        <f>C2*(1-0.3)</f>
        <v>162372000</v>
      </c>
      <c r="D4" s="4">
        <f>B4-C4</f>
        <v>911609000</v>
      </c>
      <c r="E4" s="5">
        <f>D4/B4</f>
        <v>0.84881296782717752</v>
      </c>
      <c r="F4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C599-01CF-4C32-8507-DD4DE3EA40F2}">
  <dimension ref="A1:D20"/>
  <sheetViews>
    <sheetView showGridLines="0" tabSelected="1" workbookViewId="0">
      <selection activeCell="G17" sqref="G17"/>
    </sheetView>
  </sheetViews>
  <sheetFormatPr defaultRowHeight="15" x14ac:dyDescent="0.25"/>
  <cols>
    <col min="1" max="1" width="24.85546875" customWidth="1"/>
    <col min="2" max="2" width="20.28515625" customWidth="1"/>
    <col min="3" max="3" width="19.42578125" customWidth="1"/>
    <col min="4" max="4" width="22.5703125" customWidth="1"/>
  </cols>
  <sheetData>
    <row r="1" spans="1:4" x14ac:dyDescent="0.25">
      <c r="A1" t="s">
        <v>55</v>
      </c>
    </row>
    <row r="3" spans="1:4" x14ac:dyDescent="0.25">
      <c r="A3" t="s">
        <v>56</v>
      </c>
    </row>
    <row r="6" spans="1:4" x14ac:dyDescent="0.25">
      <c r="A6" s="7" t="s">
        <v>57</v>
      </c>
      <c r="B6" s="8" t="s">
        <v>49</v>
      </c>
      <c r="C6" s="7" t="s">
        <v>50</v>
      </c>
      <c r="D6" s="7" t="s">
        <v>58</v>
      </c>
    </row>
    <row r="7" spans="1:4" x14ac:dyDescent="0.25">
      <c r="A7" t="s">
        <v>59</v>
      </c>
      <c r="B7" s="4">
        <f>Scenarios!B2</f>
        <v>1042700000</v>
      </c>
      <c r="C7" s="4">
        <f>Scenarios!B3</f>
        <v>1042700000</v>
      </c>
      <c r="D7" s="4">
        <f>Scenarios!B4</f>
        <v>1073981000</v>
      </c>
    </row>
    <row r="8" spans="1:4" x14ac:dyDescent="0.25">
      <c r="A8" t="s">
        <v>25</v>
      </c>
      <c r="B8" s="4">
        <f>Scenarios!C2</f>
        <v>231960000</v>
      </c>
      <c r="C8" s="4">
        <f>Scenarios!C3</f>
        <v>185568000</v>
      </c>
      <c r="D8" s="4">
        <f>Scenarios!C4</f>
        <v>162372000</v>
      </c>
    </row>
    <row r="9" spans="1:4" x14ac:dyDescent="0.25">
      <c r="A9" t="s">
        <v>60</v>
      </c>
      <c r="B9" s="4">
        <f>Scenarios!D2</f>
        <v>810740000</v>
      </c>
      <c r="C9" s="4">
        <f>Scenarios!D3</f>
        <v>857132000</v>
      </c>
      <c r="D9" s="4">
        <f>Scenarios!D4</f>
        <v>911609000</v>
      </c>
    </row>
    <row r="10" spans="1:4" x14ac:dyDescent="0.25">
      <c r="A10" t="s">
        <v>61</v>
      </c>
      <c r="B10" s="6">
        <f>Scenarios!E2</f>
        <v>0.77753908123141846</v>
      </c>
      <c r="C10" s="6">
        <f>Scenarios!E3</f>
        <v>0.82203126498513479</v>
      </c>
      <c r="D10" s="6">
        <f>Scenarios!E4</f>
        <v>0.84881296782717752</v>
      </c>
    </row>
    <row r="13" spans="1:4" x14ac:dyDescent="0.25">
      <c r="A13" s="7" t="s">
        <v>57</v>
      </c>
      <c r="B13" s="7" t="s">
        <v>62</v>
      </c>
      <c r="C13" s="7" t="s">
        <v>63</v>
      </c>
      <c r="D13" s="7"/>
    </row>
    <row r="14" spans="1:4" x14ac:dyDescent="0.25">
      <c r="A14" t="s">
        <v>60</v>
      </c>
      <c r="B14" s="4">
        <f>Scenarios!D3-Scenarios!D2</f>
        <v>46392000</v>
      </c>
      <c r="C14" s="4">
        <f>Scenarios!D4-Scenarios!D2</f>
        <v>100869000</v>
      </c>
    </row>
    <row r="15" spans="1:4" x14ac:dyDescent="0.25">
      <c r="A15" t="s">
        <v>61</v>
      </c>
      <c r="B15" s="6">
        <f>Scenarios!E3-Scenarios!E2</f>
        <v>4.449218375371633E-2</v>
      </c>
      <c r="C15" s="6">
        <f>Scenarios!E4-Scenarios!E2</f>
        <v>7.1273886595759062E-2</v>
      </c>
    </row>
    <row r="17" spans="1:1" x14ac:dyDescent="0.25">
      <c r="A17" t="s">
        <v>64</v>
      </c>
    </row>
    <row r="18" spans="1:1" x14ac:dyDescent="0.25">
      <c r="A18" t="s">
        <v>65</v>
      </c>
    </row>
    <row r="19" spans="1:1" x14ac:dyDescent="0.25">
      <c r="A19" t="s">
        <v>66</v>
      </c>
    </row>
    <row r="20" spans="1:1" x14ac:dyDescent="0.25">
      <c r="A20" t="s">
        <v>67</v>
      </c>
    </row>
  </sheetData>
  <conditionalFormatting sqref="B15:C15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Assumptions</vt:lpstr>
      <vt:lpstr>Customer_Economics</vt:lpstr>
      <vt:lpstr>Cost_Structure</vt:lpstr>
      <vt:lpstr>Segment_Margins</vt:lpstr>
      <vt:lpstr>Scenarios</vt:lpstr>
      <vt:lpstr>Executive_Summary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Martin</dc:creator>
  <cp:lastModifiedBy>Logan Martin</cp:lastModifiedBy>
  <dcterms:created xsi:type="dcterms:W3CDTF">2025-12-13T19:25:57Z</dcterms:created>
  <dcterms:modified xsi:type="dcterms:W3CDTF">2025-12-15T21:31:21Z</dcterms:modified>
</cp:coreProperties>
</file>